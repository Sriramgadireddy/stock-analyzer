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<sst xmlns="http://schemas.openxmlformats.org/spreadsheetml/2006/main" uniqueCount="25">
  <si>
    <t>Table 1</t>
  </si>
  <si>
    <t>Apple Inc. (AAPL) -DCF Valuation Model</t>
  </si>
  <si>
    <t>ASSUMPTIONS</t>
  </si>
  <si>
    <t>Revenue Growth Rate (Year 1-3)</t>
  </si>
  <si>
    <t>Revenue Growth Rate (Year 4-5)</t>
  </si>
  <si>
    <t>EBIT Margin</t>
  </si>
  <si>
    <t>Tax Rate</t>
  </si>
  <si>
    <t>Discount Rate (WACC)</t>
  </si>
  <si>
    <t>Terminal Growth Rate</t>
  </si>
  <si>
    <t>INCOME STATEMENT</t>
  </si>
  <si>
    <t>Revenue</t>
  </si>
  <si>
    <t>EBIT</t>
  </si>
  <si>
    <t>NOPAT</t>
  </si>
  <si>
    <t>Free Cash Flow</t>
  </si>
  <si>
    <t>Discounted Cash Flows</t>
  </si>
  <si>
    <t>Discount Factor</t>
  </si>
  <si>
    <t>Present Value of FCF</t>
  </si>
  <si>
    <t>Sum of PV of FCF</t>
  </si>
  <si>
    <t>Terminal Value</t>
  </si>
  <si>
    <t>PV of Terminal Value</t>
  </si>
  <si>
    <t>Total Enterprise Value</t>
  </si>
  <si>
    <t>Shares Outstanding (Billions)</t>
  </si>
  <si>
    <t>Implied Share Price</t>
  </si>
  <si>
    <t>Current Share Price</t>
  </si>
  <si>
    <t>Upside/Downside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</si>
</sst>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###########%"/>
    <numFmt numFmtId="60" formatCode="0.0############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9" fontId="0" borderId="6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44.25" customHeight="1">
      <c r="A2" t="s" s="3">
        <v>1</v>
      </c>
      <c r="B2" s="4">
        <v>2026</v>
      </c>
      <c r="C2" s="5"/>
      <c r="D2" s="5"/>
      <c r="E2" s="5"/>
      <c r="F2" s="5"/>
      <c r="G2" s="5"/>
    </row>
    <row r="3" ht="20.25" customHeight="1">
      <c r="A3" s="6"/>
      <c r="B3" s="7"/>
      <c r="C3" s="8"/>
      <c r="D3" s="8"/>
      <c r="E3" s="8"/>
      <c r="F3" s="8"/>
      <c r="G3" s="8"/>
    </row>
    <row r="4" ht="20.05" customHeight="1">
      <c r="A4" t="s" s="9">
        <v>2</v>
      </c>
      <c r="B4" s="10"/>
      <c r="C4" s="11"/>
      <c r="D4" s="11"/>
      <c r="E4" s="11"/>
      <c r="F4" s="11"/>
      <c r="G4" s="11"/>
    </row>
    <row r="5" ht="32.05" customHeight="1">
      <c r="A5" t="s" s="9">
        <v>3</v>
      </c>
      <c r="B5" s="12">
        <v>0.08</v>
      </c>
      <c r="C5" s="11"/>
      <c r="D5" s="11"/>
      <c r="E5" s="11"/>
      <c r="F5" s="11"/>
      <c r="G5" s="11"/>
    </row>
    <row r="6" ht="32.05" customHeight="1">
      <c r="A6" t="s" s="9">
        <v>4</v>
      </c>
      <c r="B6" s="12">
        <v>0.05</v>
      </c>
      <c r="C6" s="11"/>
      <c r="D6" s="11"/>
      <c r="E6" s="11"/>
      <c r="F6" s="11"/>
      <c r="G6" s="11"/>
    </row>
    <row r="7" ht="20.05" customHeight="1">
      <c r="A7" t="s" s="9">
        <v>5</v>
      </c>
      <c r="B7" s="12">
        <v>0.25</v>
      </c>
      <c r="C7" s="11"/>
      <c r="D7" s="11"/>
      <c r="E7" s="11"/>
      <c r="F7" s="11"/>
      <c r="G7" s="11"/>
    </row>
    <row r="8" ht="20.05" customHeight="1">
      <c r="A8" t="s" s="9">
        <v>6</v>
      </c>
      <c r="B8" s="12">
        <v>0.15</v>
      </c>
      <c r="C8" s="11"/>
      <c r="D8" s="11"/>
      <c r="E8" s="11"/>
      <c r="F8" s="11"/>
      <c r="G8" s="11"/>
    </row>
    <row r="9" ht="32.05" customHeight="1">
      <c r="A9" t="s" s="9">
        <v>7</v>
      </c>
      <c r="B9" s="12">
        <v>0.09</v>
      </c>
      <c r="C9" s="11"/>
      <c r="D9" s="11"/>
      <c r="E9" s="11"/>
      <c r="F9" s="11"/>
      <c r="G9" s="11"/>
    </row>
    <row r="10" ht="32.05" customHeight="1">
      <c r="A10" t="s" s="9">
        <v>8</v>
      </c>
      <c r="B10" s="12">
        <v>0.03</v>
      </c>
      <c r="C10" s="11"/>
      <c r="D10" s="11"/>
      <c r="E10" s="11"/>
      <c r="F10" s="11"/>
      <c r="G10" s="11"/>
    </row>
    <row r="11" ht="20.05" customHeight="1">
      <c r="A11" s="13"/>
      <c r="B11" s="10"/>
      <c r="C11" s="11"/>
      <c r="D11" s="11"/>
      <c r="E11" s="11"/>
      <c r="F11" s="11"/>
      <c r="G11" s="11"/>
    </row>
    <row r="12" ht="32.05" customHeight="1">
      <c r="A12" t="s" s="9">
        <v>9</v>
      </c>
      <c r="B12" s="14">
        <v>2026</v>
      </c>
      <c r="C12" s="15">
        <v>2027</v>
      </c>
      <c r="D12" s="15">
        <v>2028</v>
      </c>
      <c r="E12" s="15">
        <v>2029</v>
      </c>
      <c r="F12" s="15">
        <v>2030</v>
      </c>
      <c r="G12" s="11"/>
    </row>
    <row r="13" ht="20.05" customHeight="1">
      <c r="A13" t="s" s="9">
        <v>10</v>
      </c>
      <c r="B13" s="14">
        <v>391</v>
      </c>
      <c r="C13" s="15">
        <f>B13*(1+$B$5)</f>
        <v>422.28</v>
      </c>
      <c r="D13" s="15">
        <f>C13*(1+$B$5)</f>
        <v>456.0624</v>
      </c>
      <c r="E13" s="15">
        <f>D13*(1+$B$5)</f>
        <v>492.547392</v>
      </c>
      <c r="F13" s="15">
        <f>E13*(1+$B$6)</f>
        <v>517.1747616</v>
      </c>
      <c r="G13" s="11"/>
    </row>
    <row r="14" ht="20.05" customHeight="1">
      <c r="A14" t="s" s="9">
        <v>11</v>
      </c>
      <c r="B14" s="14">
        <f>B13*$B$7</f>
        <v>97.75</v>
      </c>
      <c r="C14" s="15">
        <f>C13*$B$7</f>
        <v>105.57</v>
      </c>
      <c r="D14" s="15">
        <f>D13*$B$7</f>
        <v>114.0156</v>
      </c>
      <c r="E14" s="15">
        <f>E13*$B$7</f>
        <v>123.136848</v>
      </c>
      <c r="F14" s="15">
        <f>F13*$B$7</f>
        <v>129.2936904</v>
      </c>
      <c r="G14" s="11"/>
    </row>
    <row r="15" ht="20.05" customHeight="1">
      <c r="A15" t="s" s="9">
        <v>12</v>
      </c>
      <c r="B15" s="14">
        <f>B14*(1-$B$8)</f>
        <v>83.08750000000001</v>
      </c>
      <c r="C15" s="15">
        <f>C14*(1-$B$8)</f>
        <v>89.7345</v>
      </c>
      <c r="D15" s="15">
        <f>D14*(1-$B$8)</f>
        <v>96.91325999999999</v>
      </c>
      <c r="E15" s="15">
        <f>E14*(1-$B$8)</f>
        <v>104.6663208</v>
      </c>
      <c r="F15" s="15">
        <f>F14*(1-$B$8)</f>
        <v>109.89963684</v>
      </c>
      <c r="G15" s="11"/>
    </row>
    <row r="16" ht="20.05" customHeight="1">
      <c r="A16" t="s" s="9">
        <v>13</v>
      </c>
      <c r="B16" s="14">
        <f>B15</f>
        <v>83.08750000000001</v>
      </c>
      <c r="C16" s="15">
        <f>C15</f>
        <v>89.7345</v>
      </c>
      <c r="D16" s="15">
        <f>D15</f>
        <v>96.91325999999999</v>
      </c>
      <c r="E16" s="15">
        <f>E15</f>
        <v>104.6663208</v>
      </c>
      <c r="F16" s="15">
        <f>F15</f>
        <v>109.89963684</v>
      </c>
      <c r="G16" s="11"/>
    </row>
    <row r="17" ht="32.05" customHeight="1">
      <c r="A17" t="s" s="9">
        <v>14</v>
      </c>
      <c r="B17" s="10"/>
      <c r="C17" s="11"/>
      <c r="D17" s="11"/>
      <c r="E17" s="11"/>
      <c r="F17" s="11"/>
      <c r="G17" s="11"/>
    </row>
    <row r="18" ht="32.05" customHeight="1">
      <c r="A18" t="s" s="9">
        <v>14</v>
      </c>
      <c r="B18" s="10"/>
      <c r="C18" s="11"/>
      <c r="D18" s="11"/>
      <c r="E18" s="11"/>
      <c r="F18" s="11"/>
      <c r="G18" s="11"/>
    </row>
    <row r="19" ht="20.05" customHeight="1">
      <c r="A19" t="s" s="9">
        <v>15</v>
      </c>
      <c r="B19" s="16">
        <f>1/(1+$B$9)^1</f>
        <v>0.91743119266055</v>
      </c>
      <c r="C19" s="17">
        <f>1/(1+$B$9)^2</f>
        <v>0.84167999326656</v>
      </c>
      <c r="D19" s="18">
        <f>1/(1+$B$9)^3</f>
        <v>0.772183480061064</v>
      </c>
      <c r="E19" s="18">
        <f>1/(1+$B$9)^4</f>
        <v>0.708425211065196</v>
      </c>
      <c r="F19" s="18">
        <f>1/(1+$B$9)^5</f>
        <v>0.649931386298345</v>
      </c>
      <c r="G19" s="11"/>
    </row>
    <row r="20" ht="32.05" customHeight="1">
      <c r="A20" t="s" s="9">
        <v>16</v>
      </c>
      <c r="B20" s="14">
        <f>B16*B19</f>
        <v>76.22706422018339</v>
      </c>
      <c r="C20" s="15">
        <f>C16*C19</f>
        <v>75.5277333557781</v>
      </c>
      <c r="D20" s="15">
        <f>D16*D19</f>
        <v>74.83481837086271</v>
      </c>
      <c r="E20" s="15">
        <f>E16*E19</f>
        <v>74.1482604041575</v>
      </c>
      <c r="F20" s="15">
        <f>F16*F19</f>
        <v>71.4272233251059</v>
      </c>
      <c r="G20" s="11"/>
    </row>
    <row r="21" ht="20.05" customHeight="1">
      <c r="A21" s="13"/>
      <c r="B21" s="10"/>
      <c r="C21" s="11"/>
      <c r="D21" s="11"/>
      <c r="E21" s="11"/>
      <c r="F21" s="11"/>
      <c r="G21" s="11"/>
    </row>
    <row r="22" ht="20.05" customHeight="1">
      <c r="A22" t="s" s="9">
        <v>17</v>
      </c>
      <c r="B22" s="14">
        <f>SUM(B20:F20)</f>
        <v>372.165099676088</v>
      </c>
      <c r="C22" s="11"/>
      <c r="D22" s="11"/>
      <c r="E22" s="11"/>
      <c r="F22" s="11"/>
      <c r="G22" s="11"/>
    </row>
    <row r="23" ht="20.05" customHeight="1">
      <c r="A23" t="s" s="9">
        <v>18</v>
      </c>
      <c r="B23" s="14">
        <f>F16*(1+$B$10)/($B$9-$B$10)</f>
        <v>1886.61043242</v>
      </c>
      <c r="C23" s="11"/>
      <c r="D23" s="11"/>
      <c r="E23" s="11"/>
      <c r="F23" s="11"/>
      <c r="G23" s="11"/>
    </row>
    <row r="24" ht="32.05" customHeight="1">
      <c r="A24" t="s" s="9">
        <v>19</v>
      </c>
      <c r="B24" s="14">
        <f>B23/(1+$B$9)^5</f>
        <v>1226.167333747650</v>
      </c>
      <c r="C24" s="11"/>
      <c r="D24" s="11"/>
      <c r="E24" s="11"/>
      <c r="F24" s="11"/>
      <c r="G24" s="11"/>
    </row>
    <row r="25" ht="32.05" customHeight="1">
      <c r="A25" t="s" s="9">
        <v>20</v>
      </c>
      <c r="B25" s="14">
        <f>B22+B24</f>
        <v>1598.332433423740</v>
      </c>
      <c r="C25" s="11"/>
      <c r="D25" s="11"/>
      <c r="E25" s="11"/>
      <c r="F25" s="11"/>
      <c r="G25" s="11"/>
    </row>
    <row r="26" ht="44.05" customHeight="1">
      <c r="A26" t="s" s="9">
        <v>21</v>
      </c>
      <c r="B26" s="14">
        <v>15.4</v>
      </c>
      <c r="C26" s="11"/>
      <c r="D26" s="11"/>
      <c r="E26" s="11"/>
      <c r="F26" s="11"/>
      <c r="G26" s="11"/>
    </row>
    <row r="27" ht="32.05" customHeight="1">
      <c r="A27" t="s" s="9">
        <v>22</v>
      </c>
      <c r="B27" s="14">
        <f>B25/B26</f>
        <v>103.787820352191</v>
      </c>
      <c r="C27" s="11"/>
      <c r="D27" s="11"/>
      <c r="E27" s="11"/>
      <c r="F27" s="11"/>
      <c r="G27" s="11"/>
    </row>
    <row r="28" ht="32.05" customHeight="1">
      <c r="A28" t="s" s="9">
        <v>23</v>
      </c>
      <c r="B28" s="14">
        <v>253.79</v>
      </c>
      <c r="C28" s="11"/>
      <c r="D28" s="11"/>
      <c r="E28" s="11"/>
      <c r="F28" s="11"/>
      <c r="G28" s="11"/>
    </row>
    <row r="29" ht="20.05" customHeight="1">
      <c r="A29" t="s" s="9">
        <v>24</v>
      </c>
      <c r="B29" s="14">
        <f>(B27-B28)/B28</f>
        <v>-0.591048424476177</v>
      </c>
      <c r="C29" s="11"/>
      <c r="D29" s="11"/>
      <c r="E29" s="11"/>
      <c r="F29" s="11"/>
      <c r="G29" s="11"/>
    </row>
    <row r="30" ht="20.05" customHeight="1">
      <c r="A30" s="13"/>
      <c r="B30" s="10"/>
      <c r="C30" s="11"/>
      <c r="D30" s="11"/>
      <c r="E30" s="11"/>
      <c r="F30" s="11"/>
      <c r="G30" s="11"/>
    </row>
    <row r="31" ht="20.05" customHeight="1">
      <c r="A31" s="13"/>
      <c r="B31" s="10"/>
      <c r="C31" s="11"/>
      <c r="D31" s="11"/>
      <c r="E31" s="11"/>
      <c r="F31" s="11"/>
      <c r="G31" s="11"/>
    </row>
    <row r="32" ht="20.05" customHeight="1">
      <c r="A32" s="13"/>
      <c r="B32" s="10"/>
      <c r="C32" s="11"/>
      <c r="D32" s="11"/>
      <c r="E32" s="11"/>
      <c r="F32" s="11"/>
      <c r="G32" s="11"/>
    </row>
    <row r="33" ht="20.05" customHeight="1">
      <c r="A33" s="13"/>
      <c r="B33" s="10"/>
      <c r="C33" s="11"/>
      <c r="D33" s="11"/>
      <c r="E33" s="11"/>
      <c r="F33" s="11"/>
      <c r="G33" s="11"/>
    </row>
    <row r="34" ht="20.05" customHeight="1">
      <c r="A34" s="13"/>
      <c r="B34" s="10"/>
      <c r="C34" s="11"/>
      <c r="D34" s="11"/>
      <c r="E34" s="11"/>
      <c r="F34" s="11"/>
      <c r="G34" s="11"/>
    </row>
    <row r="35" ht="20.05" customHeight="1">
      <c r="A35" s="13"/>
      <c r="B35" s="10"/>
      <c r="C35" s="11"/>
      <c r="D35" s="11"/>
      <c r="E35" s="11"/>
      <c r="F35" s="11"/>
      <c r="G35" s="11"/>
    </row>
    <row r="36" ht="20.05" customHeight="1">
      <c r="A36" s="13"/>
      <c r="B36" s="10"/>
      <c r="C36" s="11"/>
      <c r="D36" s="11"/>
      <c r="E36" s="11"/>
      <c r="F36" s="11"/>
      <c r="G36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